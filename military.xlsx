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oslav Musarliev\Desktop\git\gitmanagedmilitaryRUC\"/>
    </mc:Choice>
  </mc:AlternateContent>
  <xr:revisionPtr revIDLastSave="0" documentId="13_ncr:1_{5AC3BC1C-A0DA-4ABD-AEC5-1D30290870A8}" xr6:coauthVersionLast="47" xr6:coauthVersionMax="47" xr10:uidLastSave="{00000000-0000-0000-0000-000000000000}"/>
  <bookViews>
    <workbookView xWindow="-108" yWindow="-108" windowWidth="23256" windowHeight="12576" xr2:uid="{4A0BD5DB-F488-4BE9-B35B-8D149A0F13E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0" i="1" l="1"/>
  <c r="J49" i="1"/>
  <c r="J48" i="1"/>
  <c r="J46" i="1"/>
  <c r="J45" i="1"/>
  <c r="B63" i="1"/>
  <c r="J43" i="1"/>
  <c r="J44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4" i="1"/>
  <c r="J25" i="1"/>
  <c r="J26" i="1"/>
  <c r="J2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</calcChain>
</file>

<file path=xl/sharedStrings.xml><?xml version="1.0" encoding="utf-8"?>
<sst xmlns="http://schemas.openxmlformats.org/spreadsheetml/2006/main" count="185" uniqueCount="166">
  <si>
    <t>deamax</t>
  </si>
  <si>
    <t>NAME</t>
  </si>
  <si>
    <t>ACTIVE</t>
  </si>
  <si>
    <t>CP1</t>
  </si>
  <si>
    <t>CP2</t>
  </si>
  <si>
    <t>CP3</t>
  </si>
  <si>
    <t>CP4</t>
  </si>
  <si>
    <t>10am-1am</t>
  </si>
  <si>
    <t>Date of ISSUE</t>
  </si>
  <si>
    <t>8pm-12am</t>
  </si>
  <si>
    <t>momoneo</t>
  </si>
  <si>
    <t>TemperTantrum</t>
  </si>
  <si>
    <t>Frosty117</t>
  </si>
  <si>
    <t>Matthius</t>
  </si>
  <si>
    <t>JohnWeak00</t>
  </si>
  <si>
    <t>Dates given here are strictly by my time zone, may vary!</t>
  </si>
  <si>
    <t>UTC+</t>
  </si>
  <si>
    <t>NOT CONVERTED TO UTC!!!! Local time (reported) used instead</t>
  </si>
  <si>
    <t>Active*</t>
  </si>
  <si>
    <t>08:00 - 23:00</t>
  </si>
  <si>
    <t>20:00 - 00:00</t>
  </si>
  <si>
    <t>22:00 - 14:00</t>
  </si>
  <si>
    <t>literally do not expect this person</t>
  </si>
  <si>
    <t>01:00 - 12:00</t>
  </si>
  <si>
    <t>14:00 - 16:00, 22:00 - 01:00</t>
  </si>
  <si>
    <t>Rnie</t>
  </si>
  <si>
    <t>02:00 - 16:00</t>
  </si>
  <si>
    <t>10am-12pm</t>
  </si>
  <si>
    <t>9am-11am, 5pm-11pm</t>
  </si>
  <si>
    <t>11am-22pm</t>
  </si>
  <si>
    <t>5am-21pm</t>
  </si>
  <si>
    <t>Peek-a-boo</t>
  </si>
  <si>
    <t>anytime</t>
  </si>
  <si>
    <t>elserm</t>
  </si>
  <si>
    <t>5pm-8pm</t>
  </si>
  <si>
    <t>20:00 - 23:00</t>
  </si>
  <si>
    <t>Ravensong</t>
  </si>
  <si>
    <t>6am-9am, 6pm-8pm</t>
  </si>
  <si>
    <t>22:00 - 01:00, 10:00 - 12:00</t>
  </si>
  <si>
    <t>clean info</t>
  </si>
  <si>
    <t>30 mins to get it all sorted</t>
  </si>
  <si>
    <t>literally the first one. Had to write my own info on top to seem professional</t>
  </si>
  <si>
    <t>Active, converted to UTC+0, so the times here should be your local time Matt. The text means that the person said "I'll be there allways", but some people just say that</t>
  </si>
  <si>
    <t>kept it short and sweet</t>
  </si>
  <si>
    <t>Slots</t>
  </si>
  <si>
    <t>dyzio</t>
  </si>
  <si>
    <t>after 10am</t>
  </si>
  <si>
    <t>10:00 - idk</t>
  </si>
  <si>
    <t>Dalmat88</t>
  </si>
  <si>
    <t>Viktorc</t>
  </si>
  <si>
    <t>7am-9am 6pm-11pm</t>
  </si>
  <si>
    <t>05:00 - 09:00, 16:00 - 21:00</t>
  </si>
  <si>
    <t>Racheck</t>
  </si>
  <si>
    <t>PaPa</t>
  </si>
  <si>
    <t>7-12pm</t>
  </si>
  <si>
    <t>semi-unclean info</t>
  </si>
  <si>
    <t>20-1</t>
  </si>
  <si>
    <t>12:00 - 17:00</t>
  </si>
  <si>
    <t xml:space="preserve"> says "anytime lol", short and sweet, utc not clear -&gt; all sorted</t>
  </si>
  <si>
    <t>constatnt</t>
  </si>
  <si>
    <t>8-10am 9-11pm</t>
  </si>
  <si>
    <t>semi-clean info</t>
  </si>
  <si>
    <t>05:00 - 07:00, 18:00 - 20:00</t>
  </si>
  <si>
    <t>MrFlip</t>
  </si>
  <si>
    <t xml:space="preserve">6-10pm </t>
  </si>
  <si>
    <t>17:00 - 21:00</t>
  </si>
  <si>
    <t>Notes</t>
  </si>
  <si>
    <t>quinty</t>
  </si>
  <si>
    <t>not full info</t>
  </si>
  <si>
    <t>sometimes, cannot say</t>
  </si>
  <si>
    <t>at work, tho do not expect</t>
  </si>
  <si>
    <t>19:00 - 23:00</t>
  </si>
  <si>
    <t>active pretty much all day</t>
  </si>
  <si>
    <t>Acnoxela</t>
  </si>
  <si>
    <t>-12am</t>
  </si>
  <si>
    <t>any - 19:00</t>
  </si>
  <si>
    <t>abubibo</t>
  </si>
  <si>
    <t>11:00 - 15:00</t>
  </si>
  <si>
    <t>DEADZONE</t>
  </si>
  <si>
    <t>covid</t>
  </si>
  <si>
    <t>"same when"</t>
  </si>
  <si>
    <t>had to call him by name</t>
  </si>
  <si>
    <t>on discord</t>
  </si>
  <si>
    <t>white - UTC, blue - UTC-X, green - UTC+X</t>
  </si>
  <si>
    <t>Darker means more CP, the highest and lowest cp are the scale extremes</t>
  </si>
  <si>
    <t>CP(sum)</t>
  </si>
  <si>
    <t>19:00 - 00:00</t>
  </si>
  <si>
    <t>ConGrani</t>
  </si>
  <si>
    <t>Nazermark</t>
  </si>
  <si>
    <t>9pm-12am</t>
  </si>
  <si>
    <t>13:00 - 16:00</t>
  </si>
  <si>
    <t>good info</t>
  </si>
  <si>
    <t>ERWIN999</t>
  </si>
  <si>
    <t>11pm</t>
  </si>
  <si>
    <t>any - 16:00</t>
  </si>
  <si>
    <t>Unit levels</t>
  </si>
  <si>
    <t>Maar</t>
  </si>
  <si>
    <t>7-9pm</t>
  </si>
  <si>
    <t>19:00 - 21:00</t>
  </si>
  <si>
    <t>discord</t>
  </si>
  <si>
    <t>BreakPatriot</t>
  </si>
  <si>
    <t>01:00 - 17:00</t>
  </si>
  <si>
    <t>not 12-8am</t>
  </si>
  <si>
    <t>K00ma</t>
  </si>
  <si>
    <t>12-19pm</t>
  </si>
  <si>
    <t>10:00 - 17:00</t>
  </si>
  <si>
    <t>Buzzer02</t>
  </si>
  <si>
    <t>23pm</t>
  </si>
  <si>
    <t>Scallywag</t>
  </si>
  <si>
    <t>18:00 - 20:00</t>
  </si>
  <si>
    <t>11-23pm</t>
  </si>
  <si>
    <t>DrDROK</t>
  </si>
  <si>
    <t>needs to know one day in advance and will be here</t>
  </si>
  <si>
    <t>Staars</t>
  </si>
  <si>
    <t>8-12pm</t>
  </si>
  <si>
    <t>18:00 - 22:00</t>
  </si>
  <si>
    <t>Alexhero</t>
  </si>
  <si>
    <t>15-16pm</t>
  </si>
  <si>
    <t>oje</t>
  </si>
  <si>
    <t>4-10pm</t>
  </si>
  <si>
    <t>15:00 - 21:00</t>
  </si>
  <si>
    <t>Dogmai</t>
  </si>
  <si>
    <t>8-10pm</t>
  </si>
  <si>
    <t>20:00 - 22:00</t>
  </si>
  <si>
    <t>kidi</t>
  </si>
  <si>
    <t>09:00 - 20:00</t>
  </si>
  <si>
    <t>18:00 - 19:00</t>
  </si>
  <si>
    <t>Names are informative, and may not be 100% accurate, sorry :(, tho you can be sure they are not duplicate</t>
  </si>
  <si>
    <t>MajorRage</t>
  </si>
  <si>
    <t>9-11pm</t>
  </si>
  <si>
    <t>discord clean info</t>
  </si>
  <si>
    <t>Soniciya</t>
  </si>
  <si>
    <t>15-23pm</t>
  </si>
  <si>
    <t>14:00 - 22:00</t>
  </si>
  <si>
    <t>Archon</t>
  </si>
  <si>
    <t>20-23pm</t>
  </si>
  <si>
    <t>19:00 - 22:00</t>
  </si>
  <si>
    <t>iwo607</t>
  </si>
  <si>
    <t>18-24pm</t>
  </si>
  <si>
    <t>16:00 - 22:00</t>
  </si>
  <si>
    <t>did not give unit info</t>
  </si>
  <si>
    <t>MCShockwave</t>
  </si>
  <si>
    <t>1-4pm</t>
  </si>
  <si>
    <t>12:00 - 15:00</t>
  </si>
  <si>
    <t>BruceMayer</t>
  </si>
  <si>
    <t>not given info</t>
  </si>
  <si>
    <t>Pluggy</t>
  </si>
  <si>
    <t>at work</t>
  </si>
  <si>
    <t>Left to submit info:</t>
  </si>
  <si>
    <t>Udinn</t>
  </si>
  <si>
    <t>can online all day</t>
  </si>
  <si>
    <t>JungleJim</t>
  </si>
  <si>
    <t>totti</t>
  </si>
  <si>
    <t>ЧАКИ</t>
  </si>
  <si>
    <t>Naughty list: BruceMayer, totti</t>
  </si>
  <si>
    <t>8am-8pm</t>
  </si>
  <si>
    <t>follows instructions flawlessly</t>
  </si>
  <si>
    <t>12-01</t>
  </si>
  <si>
    <t>sent me some gibberish numbers and said he plays in his free time in russian</t>
  </si>
  <si>
    <t>05:00 - 18:00</t>
  </si>
  <si>
    <t>BANGBUS</t>
  </si>
  <si>
    <t>pickup</t>
  </si>
  <si>
    <t>Gocentukas</t>
  </si>
  <si>
    <t>at funeral…</t>
  </si>
  <si>
    <t>not available</t>
  </si>
  <si>
    <t>at work, cannot give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</si>
</sst>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49" fontId="0" fillId="0" borderId="5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1" fontId="0" fillId="0" borderId="3" xfId="0" applyNumberFormat="1" applyBorder="1" applyAlignment="1">
      <alignment vertical="center"/>
    </xf>
    <xf numFmtId="14" fontId="0" fillId="0" borderId="6" xfId="0" applyNumberFormat="1" applyBorder="1" applyAlignment="1">
      <alignment vertical="center"/>
    </xf>
    <xf numFmtId="14" fontId="0" fillId="0" borderId="3" xfId="0" applyNumberFormat="1" applyBorder="1" applyAlignment="1">
      <alignment vertical="center"/>
    </xf>
    <xf numFmtId="49" fontId="0" fillId="0" borderId="12" xfId="0" applyNumberFormat="1" applyBorder="1" applyAlignment="1">
      <alignment vertical="center"/>
    </xf>
    <xf numFmtId="49" fontId="0" fillId="0" borderId="13" xfId="0" applyNumberFormat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20" fontId="0" fillId="0" borderId="3" xfId="0" applyNumberFormat="1" applyBorder="1" applyAlignment="1">
      <alignment horizontal="center"/>
    </xf>
    <xf numFmtId="49" fontId="3" fillId="0" borderId="0" xfId="0" applyNumberFormat="1" applyFont="1" applyBorder="1" applyAlignment="1">
      <alignment horizontal="left" vertical="center" wrapText="1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Border="1" applyAlignment="1">
      <alignment horizontal="left" vertical="center" wrapText="1"/>
    </xf>
    <xf numFmtId="1" fontId="2" fillId="0" borderId="7" xfId="0" applyNumberFormat="1" applyFont="1" applyBorder="1" applyAlignment="1">
      <alignment vertical="center"/>
    </xf>
    <xf numFmtId="0" fontId="2" fillId="0" borderId="4" xfId="0" applyNumberFormat="1" applyFont="1" applyBorder="1" applyAlignment="1">
      <alignment vertical="center"/>
    </xf>
    <xf numFmtId="1" fontId="2" fillId="0" borderId="4" xfId="0" applyNumberFormat="1" applyFont="1" applyBorder="1" applyAlignment="1">
      <alignment vertical="center"/>
    </xf>
    <xf numFmtId="0" fontId="2" fillId="0" borderId="15" xfId="0" applyNumberFormat="1" applyFont="1" applyBorder="1" applyAlignment="1">
      <alignment vertical="center"/>
    </xf>
    <xf numFmtId="0" fontId="2" fillId="0" borderId="6" xfId="0" applyNumberFormat="1" applyFont="1" applyBorder="1" applyAlignment="1">
      <alignment vertical="center"/>
    </xf>
    <xf numFmtId="1" fontId="2" fillId="0" borderId="6" xfId="0" applyNumberFormat="1" applyFont="1" applyBorder="1" applyAlignment="1">
      <alignment vertical="center"/>
    </xf>
    <xf numFmtId="0" fontId="2" fillId="0" borderId="16" xfId="0" applyNumberFormat="1" applyFont="1" applyBorder="1" applyAlignment="1">
      <alignment vertical="center"/>
    </xf>
    <xf numFmtId="1" fontId="2" fillId="0" borderId="3" xfId="0" applyNumberFormat="1" applyFont="1" applyBorder="1" applyAlignment="1">
      <alignment vertical="center"/>
    </xf>
    <xf numFmtId="1" fontId="2" fillId="0" borderId="16" xfId="0" applyNumberFormat="1" applyFont="1" applyBorder="1" applyAlignment="1">
      <alignment vertical="center"/>
    </xf>
    <xf numFmtId="49" fontId="0" fillId="0" borderId="0" xfId="0" applyNumberFormat="1" applyBorder="1" applyAlignment="1">
      <alignment horizontal="left" vertical="center" textRotation="180" wrapText="1"/>
    </xf>
    <xf numFmtId="1" fontId="2" fillId="0" borderId="12" xfId="0" applyNumberFormat="1" applyFont="1" applyBorder="1" applyAlignment="1">
      <alignment vertical="center"/>
    </xf>
    <xf numFmtId="1" fontId="2" fillId="0" borderId="13" xfId="0" applyNumberFormat="1" applyFont="1" applyBorder="1" applyAlignment="1">
      <alignment vertical="center"/>
    </xf>
    <xf numFmtId="49" fontId="1" fillId="2" borderId="14" xfId="0" applyNumberFormat="1" applyFont="1" applyFill="1" applyBorder="1" applyAlignment="1">
      <alignment horizontal="left" vertical="center"/>
    </xf>
    <xf numFmtId="1" fontId="1" fillId="0" borderId="15" xfId="0" applyNumberFormat="1" applyFont="1" applyBorder="1" applyAlignment="1">
      <alignment horizontal="left" vertical="center"/>
    </xf>
    <xf numFmtId="1" fontId="1" fillId="0" borderId="16" xfId="0" applyNumberFormat="1" applyFont="1" applyBorder="1" applyAlignment="1">
      <alignment horizontal="left" vertical="center"/>
    </xf>
    <xf numFmtId="0" fontId="2" fillId="0" borderId="19" xfId="0" applyFont="1" applyBorder="1"/>
    <xf numFmtId="0" fontId="2" fillId="0" borderId="18" xfId="0" applyFont="1" applyBorder="1"/>
    <xf numFmtId="49" fontId="0" fillId="0" borderId="17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</cellXfs>
  <cellStyles count="1">
    <cellStyle name="Нормален" xfId="0" builtinId="0"/>
  </cellStyles>
  <dxfs count="2">
    <dxf>
      <font>
        <color theme="0"/>
      </font>
      <fill>
        <patternFill>
          <bgColor rgb="FFFF0000"/>
        </patternFill>
      </fill>
    </dxf>
    <dxf>
      <font>
        <color theme="2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2D90-A5F6-425E-93A9-C4003EB71C9B}">
  <dimension ref="A1:M63"/>
  <sheetViews>
    <sheetView tabSelected="1" topLeftCell="A35" workbookViewId="0">
      <selection activeCell="E55" sqref="E55"/>
    </sheetView>
  </sheetViews>
  <sheetFormatPr defaultRowHeight="14.4" x14ac:dyDescent="0.3"/>
  <cols>
    <col min="1" max="1" width="19.21875" style="3" customWidth="1"/>
    <col min="2" max="2" width="12" style="7" customWidth="1"/>
    <col min="3" max="3" width="7.5546875" style="5" customWidth="1"/>
    <col min="4" max="4" width="22.77734375" style="9" customWidth="1"/>
    <col min="5" max="5" width="29.33203125" style="11" customWidth="1"/>
    <col min="6" max="6" width="6.77734375" style="32" customWidth="1"/>
    <col min="7" max="8" width="6.77734375" style="31" customWidth="1"/>
    <col min="9" max="9" width="6.77734375" style="35" customWidth="1"/>
    <col min="10" max="10" width="8.88671875" style="40"/>
    <col min="11" max="11" width="10.109375" style="38" customWidth="1"/>
    <col min="12" max="12" width="8.88671875" style="26"/>
    <col min="13" max="13" width="51.6640625" style="1" customWidth="1"/>
    <col min="14" max="16384" width="8.88671875" style="1"/>
  </cols>
  <sheetData>
    <row r="1" spans="1:13" s="13" customFormat="1" ht="122.4" customHeight="1" thickBot="1" x14ac:dyDescent="0.35">
      <c r="A1" s="12" t="s">
        <v>127</v>
      </c>
      <c r="B1" s="12" t="s">
        <v>15</v>
      </c>
      <c r="C1" s="33" t="s">
        <v>83</v>
      </c>
      <c r="D1" s="12" t="s">
        <v>17</v>
      </c>
      <c r="E1" s="12" t="s">
        <v>42</v>
      </c>
      <c r="F1" s="41" t="s">
        <v>84</v>
      </c>
      <c r="G1" s="42"/>
      <c r="H1" s="42"/>
      <c r="I1" s="42"/>
      <c r="J1" s="23"/>
      <c r="K1" s="15"/>
      <c r="L1" s="23"/>
      <c r="M1" s="13" t="s">
        <v>154</v>
      </c>
    </row>
    <row r="2" spans="1:13" s="22" customFormat="1" ht="15.6" thickTop="1" thickBot="1" x14ac:dyDescent="0.35">
      <c r="A2" s="16" t="s">
        <v>1</v>
      </c>
      <c r="B2" s="17" t="s">
        <v>8</v>
      </c>
      <c r="C2" s="17" t="s">
        <v>16</v>
      </c>
      <c r="D2" s="18" t="s">
        <v>2</v>
      </c>
      <c r="E2" s="19" t="s">
        <v>18</v>
      </c>
      <c r="F2" s="20" t="s">
        <v>3</v>
      </c>
      <c r="G2" s="17" t="s">
        <v>4</v>
      </c>
      <c r="H2" s="17" t="s">
        <v>5</v>
      </c>
      <c r="I2" s="18" t="s">
        <v>6</v>
      </c>
      <c r="J2" s="19" t="s">
        <v>85</v>
      </c>
      <c r="K2" s="36" t="s">
        <v>95</v>
      </c>
      <c r="L2" s="21" t="s">
        <v>44</v>
      </c>
      <c r="M2" s="22" t="s">
        <v>66</v>
      </c>
    </row>
    <row r="3" spans="1:13" ht="15" thickTop="1" x14ac:dyDescent="0.3">
      <c r="A3" s="2" t="s">
        <v>0</v>
      </c>
      <c r="B3" s="6">
        <v>44441</v>
      </c>
      <c r="C3" s="4">
        <v>2</v>
      </c>
      <c r="D3" s="8" t="s">
        <v>7</v>
      </c>
      <c r="E3" s="10" t="s">
        <v>19</v>
      </c>
      <c r="F3" s="27">
        <v>82</v>
      </c>
      <c r="G3" s="28">
        <v>60</v>
      </c>
      <c r="H3" s="29">
        <v>40</v>
      </c>
      <c r="I3" s="34">
        <v>0</v>
      </c>
      <c r="J3" s="39">
        <f>SUM(F3:I3)</f>
        <v>182</v>
      </c>
      <c r="K3" s="37">
        <v>4</v>
      </c>
      <c r="L3" s="24">
        <v>4</v>
      </c>
    </row>
    <row r="4" spans="1:13" x14ac:dyDescent="0.3">
      <c r="A4" s="3" t="s">
        <v>13</v>
      </c>
      <c r="B4" s="6">
        <v>44441</v>
      </c>
      <c r="C4" s="5">
        <v>0</v>
      </c>
      <c r="D4" s="9" t="s">
        <v>9</v>
      </c>
      <c r="E4" s="14" t="s">
        <v>20</v>
      </c>
      <c r="F4" s="30">
        <v>123</v>
      </c>
      <c r="G4" s="31">
        <v>90</v>
      </c>
      <c r="H4" s="31">
        <v>67</v>
      </c>
      <c r="I4" s="35">
        <v>0</v>
      </c>
      <c r="J4" s="39">
        <f t="shared" ref="J4:J64" si="0">SUM(F4:I4)</f>
        <v>280</v>
      </c>
      <c r="K4" s="38">
        <v>5</v>
      </c>
      <c r="L4" s="25">
        <v>4</v>
      </c>
      <c r="M4" s="1" t="s">
        <v>41</v>
      </c>
    </row>
    <row r="5" spans="1:13" x14ac:dyDescent="0.3">
      <c r="A5" s="3" t="s">
        <v>14</v>
      </c>
      <c r="B5" s="6">
        <v>44441</v>
      </c>
      <c r="C5" s="5">
        <v>7</v>
      </c>
      <c r="D5" s="9" t="s">
        <v>30</v>
      </c>
      <c r="E5" s="11" t="s">
        <v>21</v>
      </c>
      <c r="F5" s="30">
        <v>95</v>
      </c>
      <c r="G5" s="31">
        <v>75</v>
      </c>
      <c r="H5" s="31">
        <v>75</v>
      </c>
      <c r="I5" s="35">
        <v>0</v>
      </c>
      <c r="J5" s="39">
        <f t="shared" si="0"/>
        <v>245</v>
      </c>
      <c r="K5" s="38">
        <v>4</v>
      </c>
      <c r="L5" s="25">
        <v>4</v>
      </c>
      <c r="M5" s="1" t="s">
        <v>40</v>
      </c>
    </row>
    <row r="6" spans="1:13" x14ac:dyDescent="0.3">
      <c r="A6" s="3" t="s">
        <v>10</v>
      </c>
      <c r="B6" s="6">
        <v>44441</v>
      </c>
      <c r="C6" s="5">
        <v>8</v>
      </c>
      <c r="D6" s="9" t="s">
        <v>56</v>
      </c>
      <c r="E6" s="11" t="s">
        <v>57</v>
      </c>
      <c r="F6" s="30">
        <v>98</v>
      </c>
      <c r="G6" s="31">
        <v>72</v>
      </c>
      <c r="H6" s="31">
        <v>53</v>
      </c>
      <c r="I6" s="35">
        <v>0</v>
      </c>
      <c r="J6" s="39">
        <f t="shared" si="0"/>
        <v>223</v>
      </c>
      <c r="K6" s="38">
        <v>4</v>
      </c>
      <c r="L6" s="25">
        <v>3</v>
      </c>
      <c r="M6" s="1" t="s">
        <v>58</v>
      </c>
    </row>
    <row r="7" spans="1:13" x14ac:dyDescent="0.3">
      <c r="A7" s="3" t="s">
        <v>12</v>
      </c>
      <c r="B7" s="6">
        <v>44441</v>
      </c>
      <c r="C7" s="5">
        <v>10</v>
      </c>
      <c r="D7" s="9" t="s">
        <v>29</v>
      </c>
      <c r="E7" s="11" t="s">
        <v>23</v>
      </c>
      <c r="F7" s="30">
        <v>100</v>
      </c>
      <c r="G7" s="31">
        <v>70</v>
      </c>
      <c r="H7" s="31">
        <v>50</v>
      </c>
      <c r="I7" s="35">
        <v>0</v>
      </c>
      <c r="J7" s="39">
        <f t="shared" si="0"/>
        <v>220</v>
      </c>
      <c r="K7" s="38">
        <v>4</v>
      </c>
      <c r="L7" s="25">
        <v>4</v>
      </c>
    </row>
    <row r="8" spans="1:13" x14ac:dyDescent="0.3">
      <c r="A8" s="3" t="s">
        <v>11</v>
      </c>
      <c r="B8" s="6">
        <v>44441</v>
      </c>
      <c r="C8" s="5">
        <v>-5</v>
      </c>
      <c r="D8" s="9" t="s">
        <v>28</v>
      </c>
      <c r="E8" s="11" t="s">
        <v>24</v>
      </c>
      <c r="F8" s="30">
        <v>111</v>
      </c>
      <c r="G8" s="31">
        <v>57</v>
      </c>
      <c r="H8" s="31">
        <v>48</v>
      </c>
      <c r="I8" s="35">
        <v>0</v>
      </c>
      <c r="J8" s="39">
        <f t="shared" si="0"/>
        <v>216</v>
      </c>
      <c r="K8" s="38">
        <v>5</v>
      </c>
      <c r="L8" s="25">
        <v>3</v>
      </c>
      <c r="M8" s="1" t="s">
        <v>43</v>
      </c>
    </row>
    <row r="9" spans="1:13" x14ac:dyDescent="0.3">
      <c r="A9" s="3" t="s">
        <v>25</v>
      </c>
      <c r="B9" s="7">
        <v>44441</v>
      </c>
      <c r="C9" s="5">
        <v>8</v>
      </c>
      <c r="D9" s="9" t="s">
        <v>27</v>
      </c>
      <c r="E9" s="11" t="s">
        <v>26</v>
      </c>
      <c r="F9" s="32">
        <v>95</v>
      </c>
      <c r="G9" s="31">
        <v>74</v>
      </c>
      <c r="H9" s="31">
        <v>54</v>
      </c>
      <c r="I9" s="35">
        <v>0</v>
      </c>
      <c r="J9" s="39">
        <f t="shared" si="0"/>
        <v>223</v>
      </c>
      <c r="K9" s="38">
        <v>4</v>
      </c>
      <c r="L9" s="26">
        <v>3</v>
      </c>
    </row>
    <row r="10" spans="1:13" x14ac:dyDescent="0.3">
      <c r="A10" s="3" t="s">
        <v>31</v>
      </c>
      <c r="B10" s="7">
        <v>44441</v>
      </c>
      <c r="C10" s="5">
        <v>0</v>
      </c>
      <c r="D10" s="9" t="s">
        <v>32</v>
      </c>
      <c r="E10" s="11" t="s">
        <v>32</v>
      </c>
      <c r="F10" s="32">
        <v>88</v>
      </c>
      <c r="G10" s="31">
        <v>64</v>
      </c>
      <c r="H10" s="31">
        <v>47</v>
      </c>
      <c r="I10" s="35">
        <v>0</v>
      </c>
      <c r="J10" s="39">
        <f t="shared" si="0"/>
        <v>199</v>
      </c>
      <c r="K10" s="38">
        <v>4</v>
      </c>
      <c r="L10" s="26">
        <v>3</v>
      </c>
      <c r="M10" s="1" t="s">
        <v>39</v>
      </c>
    </row>
    <row r="11" spans="1:13" x14ac:dyDescent="0.3">
      <c r="A11" s="3" t="s">
        <v>33</v>
      </c>
      <c r="B11" s="7">
        <v>44441</v>
      </c>
      <c r="C11" s="5">
        <v>-3</v>
      </c>
      <c r="D11" s="9" t="s">
        <v>34</v>
      </c>
      <c r="E11" s="11" t="s">
        <v>35</v>
      </c>
      <c r="F11" s="32">
        <v>95</v>
      </c>
      <c r="G11" s="31">
        <v>76</v>
      </c>
      <c r="H11" s="31">
        <v>48</v>
      </c>
      <c r="I11" s="35">
        <v>0</v>
      </c>
      <c r="J11" s="39">
        <f t="shared" si="0"/>
        <v>219</v>
      </c>
      <c r="K11" s="38">
        <v>4</v>
      </c>
      <c r="L11" s="26">
        <v>4</v>
      </c>
      <c r="M11" s="1" t="s">
        <v>39</v>
      </c>
    </row>
    <row r="12" spans="1:13" x14ac:dyDescent="0.3">
      <c r="A12" s="3" t="s">
        <v>36</v>
      </c>
      <c r="B12" s="7">
        <v>44441</v>
      </c>
      <c r="C12" s="5">
        <v>8</v>
      </c>
      <c r="D12" s="9" t="s">
        <v>37</v>
      </c>
      <c r="E12" s="11" t="s">
        <v>38</v>
      </c>
      <c r="F12" s="32">
        <v>97</v>
      </c>
      <c r="G12" s="31">
        <v>71</v>
      </c>
      <c r="H12" s="31">
        <v>54</v>
      </c>
      <c r="I12" s="35">
        <v>0</v>
      </c>
      <c r="J12" s="39">
        <f t="shared" si="0"/>
        <v>222</v>
      </c>
      <c r="K12" s="38">
        <v>4</v>
      </c>
      <c r="L12" s="26">
        <v>4</v>
      </c>
      <c r="M12" s="1" t="s">
        <v>39</v>
      </c>
    </row>
    <row r="13" spans="1:13" x14ac:dyDescent="0.3">
      <c r="A13" s="3" t="s">
        <v>45</v>
      </c>
      <c r="B13" s="7">
        <v>44441</v>
      </c>
      <c r="C13" s="5">
        <v>0</v>
      </c>
      <c r="D13" s="9" t="s">
        <v>46</v>
      </c>
      <c r="E13" s="14" t="s">
        <v>47</v>
      </c>
      <c r="F13" s="32">
        <v>100</v>
      </c>
      <c r="G13" s="31">
        <v>66</v>
      </c>
      <c r="H13" s="31">
        <v>47</v>
      </c>
      <c r="I13" s="35">
        <v>0</v>
      </c>
      <c r="J13" s="39">
        <f t="shared" si="0"/>
        <v>213</v>
      </c>
      <c r="K13" s="38">
        <v>5</v>
      </c>
      <c r="L13" s="26">
        <v>3</v>
      </c>
      <c r="M13" s="1" t="s">
        <v>39</v>
      </c>
    </row>
    <row r="14" spans="1:13" x14ac:dyDescent="0.3">
      <c r="A14" s="3" t="s">
        <v>48</v>
      </c>
      <c r="B14" s="7">
        <v>44441</v>
      </c>
      <c r="C14" s="5">
        <v>1</v>
      </c>
      <c r="D14" s="9" t="s">
        <v>80</v>
      </c>
      <c r="E14" s="11" t="s">
        <v>22</v>
      </c>
      <c r="F14" s="32">
        <v>100</v>
      </c>
      <c r="G14" s="31">
        <v>67</v>
      </c>
      <c r="H14" s="31">
        <v>45</v>
      </c>
      <c r="I14" s="35">
        <v>0</v>
      </c>
      <c r="J14" s="39">
        <f t="shared" si="0"/>
        <v>212</v>
      </c>
      <c r="K14" s="38">
        <v>4</v>
      </c>
      <c r="L14" s="26">
        <v>4</v>
      </c>
      <c r="M14" s="1" t="s">
        <v>39</v>
      </c>
    </row>
    <row r="15" spans="1:13" x14ac:dyDescent="0.3">
      <c r="A15" s="3" t="s">
        <v>49</v>
      </c>
      <c r="B15" s="7">
        <v>44441</v>
      </c>
      <c r="C15" s="5">
        <v>2</v>
      </c>
      <c r="D15" s="9" t="s">
        <v>50</v>
      </c>
      <c r="E15" s="11" t="s">
        <v>51</v>
      </c>
      <c r="F15" s="32">
        <v>145</v>
      </c>
      <c r="G15" s="31">
        <v>95</v>
      </c>
      <c r="H15" s="31">
        <v>95</v>
      </c>
      <c r="I15" s="35">
        <v>0</v>
      </c>
      <c r="J15" s="39">
        <f t="shared" si="0"/>
        <v>335</v>
      </c>
      <c r="K15" s="38">
        <v>5</v>
      </c>
      <c r="L15" s="26">
        <v>4</v>
      </c>
      <c r="M15" s="1" t="s">
        <v>39</v>
      </c>
    </row>
    <row r="16" spans="1:13" x14ac:dyDescent="0.3">
      <c r="A16" s="3" t="s">
        <v>52</v>
      </c>
      <c r="B16" s="7">
        <v>44441</v>
      </c>
      <c r="C16" s="5">
        <v>1</v>
      </c>
      <c r="D16" s="9" t="s">
        <v>72</v>
      </c>
      <c r="E16" s="11" t="s">
        <v>71</v>
      </c>
      <c r="F16" s="32">
        <v>100</v>
      </c>
      <c r="G16" s="31">
        <v>75</v>
      </c>
      <c r="H16" s="31">
        <v>75</v>
      </c>
      <c r="I16" s="35">
        <v>0</v>
      </c>
      <c r="J16" s="39">
        <f t="shared" si="0"/>
        <v>250</v>
      </c>
      <c r="K16" s="38">
        <v>4</v>
      </c>
      <c r="L16" s="26">
        <v>4</v>
      </c>
    </row>
    <row r="17" spans="1:13" x14ac:dyDescent="0.3">
      <c r="A17" s="3" t="s">
        <v>53</v>
      </c>
      <c r="B17" s="7">
        <v>44441</v>
      </c>
      <c r="C17" s="5">
        <v>1</v>
      </c>
      <c r="D17" s="9" t="s">
        <v>54</v>
      </c>
      <c r="E17" s="11" t="s">
        <v>86</v>
      </c>
      <c r="F17" s="32">
        <v>98</v>
      </c>
      <c r="G17" s="31">
        <v>74</v>
      </c>
      <c r="H17" s="31">
        <v>56</v>
      </c>
      <c r="I17" s="35">
        <v>0</v>
      </c>
      <c r="J17" s="39">
        <f t="shared" si="0"/>
        <v>228</v>
      </c>
      <c r="K17" s="38">
        <v>4</v>
      </c>
      <c r="L17" s="26">
        <v>4</v>
      </c>
      <c r="M17" s="1" t="s">
        <v>55</v>
      </c>
    </row>
    <row r="18" spans="1:13" x14ac:dyDescent="0.3">
      <c r="A18" s="3" t="s">
        <v>59</v>
      </c>
      <c r="B18" s="7">
        <v>44441</v>
      </c>
      <c r="C18" s="5">
        <v>3</v>
      </c>
      <c r="D18" s="9" t="s">
        <v>60</v>
      </c>
      <c r="E18" s="11" t="s">
        <v>62</v>
      </c>
      <c r="F18" s="32">
        <v>95</v>
      </c>
      <c r="G18" s="31">
        <v>75</v>
      </c>
      <c r="H18" s="31">
        <v>55</v>
      </c>
      <c r="I18" s="35">
        <v>0</v>
      </c>
      <c r="J18" s="39">
        <f t="shared" si="0"/>
        <v>225</v>
      </c>
      <c r="K18" s="38">
        <v>4</v>
      </c>
      <c r="L18" s="26">
        <v>4</v>
      </c>
      <c r="M18" s="1" t="s">
        <v>61</v>
      </c>
    </row>
    <row r="19" spans="1:13" x14ac:dyDescent="0.3">
      <c r="A19" s="3" t="s">
        <v>63</v>
      </c>
      <c r="B19" s="7">
        <v>44441</v>
      </c>
      <c r="C19" s="5">
        <v>1</v>
      </c>
      <c r="D19" s="9" t="s">
        <v>64</v>
      </c>
      <c r="E19" s="11" t="s">
        <v>65</v>
      </c>
      <c r="F19" s="32">
        <v>74</v>
      </c>
      <c r="G19" s="31">
        <v>74</v>
      </c>
      <c r="H19" s="31">
        <v>54</v>
      </c>
      <c r="I19" s="35">
        <v>0</v>
      </c>
      <c r="J19" s="39">
        <f t="shared" si="0"/>
        <v>202</v>
      </c>
      <c r="K19" s="38">
        <v>4</v>
      </c>
      <c r="L19" s="26">
        <v>3</v>
      </c>
    </row>
    <row r="20" spans="1:13" x14ac:dyDescent="0.3">
      <c r="A20" s="3" t="s">
        <v>67</v>
      </c>
      <c r="B20" s="7">
        <v>44441</v>
      </c>
      <c r="C20" s="5">
        <v>1</v>
      </c>
      <c r="D20" s="9" t="s">
        <v>69</v>
      </c>
      <c r="E20" s="11" t="s">
        <v>70</v>
      </c>
      <c r="F20" s="32">
        <v>82</v>
      </c>
      <c r="G20" s="31">
        <v>67</v>
      </c>
      <c r="H20" s="31">
        <v>48</v>
      </c>
      <c r="I20" s="35">
        <v>0</v>
      </c>
      <c r="J20" s="39">
        <f t="shared" si="0"/>
        <v>197</v>
      </c>
      <c r="K20" s="38">
        <v>4</v>
      </c>
      <c r="L20" s="26">
        <v>3</v>
      </c>
      <c r="M20" s="1" t="s">
        <v>68</v>
      </c>
    </row>
    <row r="21" spans="1:13" x14ac:dyDescent="0.3">
      <c r="A21" s="3" t="s">
        <v>73</v>
      </c>
      <c r="B21" s="7">
        <v>44441</v>
      </c>
      <c r="C21" s="5">
        <v>5</v>
      </c>
      <c r="D21" s="9" t="s">
        <v>74</v>
      </c>
      <c r="E21" s="11" t="s">
        <v>75</v>
      </c>
      <c r="F21" s="32">
        <v>75</v>
      </c>
      <c r="G21" s="31">
        <v>65</v>
      </c>
      <c r="H21" s="31">
        <v>0</v>
      </c>
      <c r="I21" s="35">
        <v>0</v>
      </c>
      <c r="J21" s="39">
        <f t="shared" si="0"/>
        <v>140</v>
      </c>
      <c r="K21" s="38">
        <v>4</v>
      </c>
      <c r="L21" s="26">
        <v>3</v>
      </c>
      <c r="M21" s="1" t="s">
        <v>82</v>
      </c>
    </row>
    <row r="22" spans="1:13" x14ac:dyDescent="0.3">
      <c r="A22" s="3" t="s">
        <v>76</v>
      </c>
      <c r="B22" s="7">
        <v>44441</v>
      </c>
      <c r="C22" s="5">
        <v>7</v>
      </c>
      <c r="D22" s="9" t="s">
        <v>64</v>
      </c>
      <c r="E22" s="11" t="s">
        <v>77</v>
      </c>
      <c r="F22" s="32">
        <v>101</v>
      </c>
      <c r="G22" s="31">
        <v>64</v>
      </c>
      <c r="H22" s="31">
        <v>49</v>
      </c>
      <c r="I22" s="35">
        <v>0</v>
      </c>
      <c r="J22" s="39">
        <f t="shared" si="0"/>
        <v>214</v>
      </c>
      <c r="K22" s="38">
        <v>4</v>
      </c>
      <c r="L22" s="26">
        <v>3</v>
      </c>
      <c r="M22" s="1" t="s">
        <v>81</v>
      </c>
    </row>
    <row r="23" spans="1:13" x14ac:dyDescent="0.3">
      <c r="A23" s="3" t="s">
        <v>78</v>
      </c>
      <c r="B23" s="7">
        <v>44441</v>
      </c>
      <c r="C23" s="5">
        <v>-5</v>
      </c>
      <c r="D23" s="9" t="s">
        <v>79</v>
      </c>
      <c r="E23" s="11" t="s">
        <v>79</v>
      </c>
      <c r="J23" s="39">
        <f t="shared" si="0"/>
        <v>0</v>
      </c>
      <c r="K23" s="38">
        <v>4</v>
      </c>
      <c r="M23" s="1" t="s">
        <v>68</v>
      </c>
    </row>
    <row r="24" spans="1:13" x14ac:dyDescent="0.3">
      <c r="A24" s="3" t="s">
        <v>87</v>
      </c>
      <c r="B24" s="7">
        <v>44441</v>
      </c>
      <c r="C24" s="5">
        <v>2</v>
      </c>
      <c r="D24" s="9" t="s">
        <v>112</v>
      </c>
      <c r="F24" s="32">
        <v>92</v>
      </c>
      <c r="G24" s="31">
        <v>70</v>
      </c>
      <c r="H24" s="31">
        <v>42</v>
      </c>
      <c r="I24" s="35">
        <v>0</v>
      </c>
      <c r="J24" s="39">
        <f t="shared" si="0"/>
        <v>204</v>
      </c>
      <c r="K24" s="38">
        <v>4</v>
      </c>
      <c r="L24" s="26">
        <v>3</v>
      </c>
    </row>
    <row r="25" spans="1:13" x14ac:dyDescent="0.3">
      <c r="A25" s="3" t="s">
        <v>88</v>
      </c>
      <c r="B25" s="7">
        <v>44441</v>
      </c>
      <c r="C25" s="5">
        <v>8</v>
      </c>
      <c r="D25" s="9" t="s">
        <v>89</v>
      </c>
      <c r="E25" s="11" t="s">
        <v>90</v>
      </c>
      <c r="F25" s="32">
        <v>72</v>
      </c>
      <c r="G25" s="31">
        <v>55</v>
      </c>
      <c r="H25" s="31">
        <v>39</v>
      </c>
      <c r="I25" s="35">
        <v>0</v>
      </c>
      <c r="J25" s="39">
        <f t="shared" si="0"/>
        <v>166</v>
      </c>
      <c r="K25" s="38">
        <v>4</v>
      </c>
      <c r="L25" s="26">
        <v>3</v>
      </c>
      <c r="M25" s="1" t="s">
        <v>91</v>
      </c>
    </row>
    <row r="26" spans="1:13" x14ac:dyDescent="0.3">
      <c r="A26" s="3" t="s">
        <v>92</v>
      </c>
      <c r="B26" s="7">
        <v>44441</v>
      </c>
      <c r="C26" s="5">
        <v>7</v>
      </c>
      <c r="D26" s="9" t="s">
        <v>93</v>
      </c>
      <c r="E26" s="11" t="s">
        <v>94</v>
      </c>
      <c r="F26" s="32">
        <v>98</v>
      </c>
      <c r="G26" s="31">
        <v>63</v>
      </c>
      <c r="H26" s="31">
        <v>0</v>
      </c>
      <c r="I26" s="35">
        <v>0</v>
      </c>
      <c r="J26" s="39">
        <f t="shared" si="0"/>
        <v>161</v>
      </c>
      <c r="K26" s="38">
        <v>4</v>
      </c>
      <c r="L26" s="26">
        <v>3</v>
      </c>
    </row>
    <row r="27" spans="1:13" x14ac:dyDescent="0.3">
      <c r="A27" s="3" t="s">
        <v>96</v>
      </c>
      <c r="B27" s="7">
        <v>44441</v>
      </c>
      <c r="C27" s="5">
        <v>0</v>
      </c>
      <c r="D27" s="9" t="s">
        <v>97</v>
      </c>
      <c r="E27" s="11" t="s">
        <v>98</v>
      </c>
      <c r="F27" s="32">
        <v>94</v>
      </c>
      <c r="G27" s="31">
        <v>73</v>
      </c>
      <c r="H27" s="31">
        <v>74</v>
      </c>
      <c r="I27" s="35">
        <v>0</v>
      </c>
      <c r="J27" s="40">
        <f t="shared" si="0"/>
        <v>241</v>
      </c>
      <c r="K27" s="38">
        <v>4</v>
      </c>
      <c r="M27" s="1" t="s">
        <v>99</v>
      </c>
    </row>
    <row r="28" spans="1:13" x14ac:dyDescent="0.3">
      <c r="A28" s="3" t="s">
        <v>100</v>
      </c>
      <c r="B28" s="7">
        <v>44441</v>
      </c>
      <c r="C28" s="5">
        <v>7</v>
      </c>
      <c r="D28" s="9" t="s">
        <v>102</v>
      </c>
      <c r="E28" s="14" t="s">
        <v>101</v>
      </c>
      <c r="F28" s="32">
        <v>87</v>
      </c>
      <c r="G28" s="31">
        <v>65</v>
      </c>
      <c r="H28" s="31">
        <v>48</v>
      </c>
      <c r="I28" s="35">
        <v>0</v>
      </c>
      <c r="J28" s="40">
        <f t="shared" si="0"/>
        <v>200</v>
      </c>
      <c r="K28" s="38">
        <v>4</v>
      </c>
      <c r="L28" s="26">
        <v>3</v>
      </c>
    </row>
    <row r="29" spans="1:13" x14ac:dyDescent="0.3">
      <c r="A29" s="3" t="s">
        <v>103</v>
      </c>
      <c r="B29" s="7">
        <v>44441</v>
      </c>
      <c r="C29" s="5">
        <v>2</v>
      </c>
      <c r="D29" s="9" t="s">
        <v>104</v>
      </c>
      <c r="E29" s="11" t="s">
        <v>105</v>
      </c>
      <c r="F29" s="32">
        <v>116</v>
      </c>
      <c r="G29" s="31">
        <v>93</v>
      </c>
      <c r="H29" s="31">
        <v>61</v>
      </c>
      <c r="I29" s="35">
        <v>0</v>
      </c>
      <c r="J29" s="40">
        <f t="shared" si="0"/>
        <v>270</v>
      </c>
      <c r="K29" s="38">
        <v>5</v>
      </c>
      <c r="L29" s="26">
        <v>3</v>
      </c>
    </row>
    <row r="30" spans="1:13" x14ac:dyDescent="0.3">
      <c r="A30" s="3" t="s">
        <v>106</v>
      </c>
      <c r="B30" s="7">
        <v>44441</v>
      </c>
      <c r="C30" s="5">
        <v>7</v>
      </c>
      <c r="D30" s="9" t="s">
        <v>107</v>
      </c>
      <c r="E30" s="11" t="s">
        <v>94</v>
      </c>
      <c r="F30" s="32">
        <v>98</v>
      </c>
      <c r="G30" s="31">
        <v>66</v>
      </c>
      <c r="H30" s="31">
        <v>58</v>
      </c>
      <c r="I30" s="35">
        <v>0</v>
      </c>
      <c r="J30" s="40">
        <f t="shared" si="0"/>
        <v>222</v>
      </c>
      <c r="K30" s="38">
        <v>4</v>
      </c>
      <c r="L30" s="26">
        <v>4</v>
      </c>
    </row>
    <row r="31" spans="1:13" x14ac:dyDescent="0.3">
      <c r="A31" s="3" t="s">
        <v>108</v>
      </c>
      <c r="B31" s="7">
        <v>44441</v>
      </c>
      <c r="C31" s="5">
        <v>1</v>
      </c>
      <c r="D31" s="9" t="s">
        <v>97</v>
      </c>
      <c r="E31" s="11" t="s">
        <v>109</v>
      </c>
      <c r="F31" s="32">
        <v>66</v>
      </c>
      <c r="G31" s="31">
        <v>40</v>
      </c>
      <c r="H31" s="31">
        <v>29</v>
      </c>
      <c r="I31" s="35">
        <v>0</v>
      </c>
      <c r="J31" s="40">
        <f t="shared" si="0"/>
        <v>135</v>
      </c>
      <c r="K31" s="38">
        <v>4</v>
      </c>
      <c r="L31" s="26">
        <v>2</v>
      </c>
    </row>
    <row r="32" spans="1:13" x14ac:dyDescent="0.3">
      <c r="A32" s="3" t="s">
        <v>111</v>
      </c>
      <c r="B32" s="7">
        <v>44441</v>
      </c>
      <c r="D32" s="9" t="s">
        <v>110</v>
      </c>
      <c r="F32" s="32">
        <v>100</v>
      </c>
      <c r="G32" s="31">
        <v>68</v>
      </c>
      <c r="H32" s="31">
        <v>56</v>
      </c>
      <c r="I32" s="35">
        <v>0</v>
      </c>
      <c r="J32" s="40">
        <f t="shared" si="0"/>
        <v>224</v>
      </c>
      <c r="K32" s="38">
        <v>3</v>
      </c>
    </row>
    <row r="33" spans="1:13" x14ac:dyDescent="0.3">
      <c r="A33" s="3" t="s">
        <v>113</v>
      </c>
      <c r="B33" s="7">
        <v>44441</v>
      </c>
      <c r="C33" s="5">
        <v>2</v>
      </c>
      <c r="D33" s="9" t="s">
        <v>114</v>
      </c>
      <c r="E33" s="14" t="s">
        <v>115</v>
      </c>
      <c r="F33" s="32">
        <v>98</v>
      </c>
      <c r="G33" s="31">
        <v>69</v>
      </c>
      <c r="H33" s="31">
        <v>49</v>
      </c>
      <c r="I33" s="35">
        <v>0</v>
      </c>
      <c r="J33" s="40">
        <f t="shared" si="0"/>
        <v>216</v>
      </c>
      <c r="K33" s="38">
        <v>4</v>
      </c>
      <c r="L33" s="26">
        <v>3</v>
      </c>
    </row>
    <row r="34" spans="1:13" x14ac:dyDescent="0.3">
      <c r="A34" s="3" t="s">
        <v>116</v>
      </c>
      <c r="B34" s="7">
        <v>44441</v>
      </c>
      <c r="C34" s="5">
        <v>-3</v>
      </c>
      <c r="D34" s="9" t="s">
        <v>117</v>
      </c>
      <c r="E34" s="11" t="s">
        <v>126</v>
      </c>
      <c r="F34" s="32">
        <v>95</v>
      </c>
      <c r="G34" s="31">
        <v>75</v>
      </c>
      <c r="H34" s="31">
        <v>47</v>
      </c>
      <c r="I34" s="35">
        <v>0</v>
      </c>
      <c r="J34" s="40">
        <f t="shared" si="0"/>
        <v>217</v>
      </c>
      <c r="K34" s="38">
        <v>4</v>
      </c>
      <c r="L34" s="26">
        <v>2</v>
      </c>
    </row>
    <row r="35" spans="1:13" x14ac:dyDescent="0.3">
      <c r="A35" s="3" t="s">
        <v>118</v>
      </c>
      <c r="B35" s="7">
        <v>44441</v>
      </c>
      <c r="C35" s="5">
        <v>1</v>
      </c>
      <c r="D35" s="9" t="s">
        <v>119</v>
      </c>
      <c r="E35" s="11" t="s">
        <v>120</v>
      </c>
      <c r="F35" s="32">
        <v>100</v>
      </c>
      <c r="G35" s="31">
        <v>64</v>
      </c>
      <c r="H35" s="31">
        <v>56</v>
      </c>
      <c r="I35" s="35">
        <v>0</v>
      </c>
      <c r="J35" s="40">
        <f t="shared" si="0"/>
        <v>220</v>
      </c>
      <c r="K35" s="38">
        <v>4</v>
      </c>
      <c r="L35" s="26">
        <v>4</v>
      </c>
    </row>
    <row r="36" spans="1:13" x14ac:dyDescent="0.3">
      <c r="A36" s="3" t="s">
        <v>121</v>
      </c>
      <c r="B36" s="7">
        <v>44441</v>
      </c>
      <c r="C36" s="5">
        <v>0</v>
      </c>
      <c r="D36" s="9" t="s">
        <v>122</v>
      </c>
      <c r="E36" s="11" t="s">
        <v>123</v>
      </c>
      <c r="F36" s="32">
        <v>91</v>
      </c>
      <c r="G36" s="31">
        <v>51</v>
      </c>
      <c r="H36" s="31">
        <v>33</v>
      </c>
      <c r="I36" s="35">
        <v>0</v>
      </c>
      <c r="J36" s="40">
        <f t="shared" si="0"/>
        <v>175</v>
      </c>
      <c r="K36" s="38">
        <v>4</v>
      </c>
      <c r="L36" s="26">
        <v>3</v>
      </c>
    </row>
    <row r="37" spans="1:13" x14ac:dyDescent="0.3">
      <c r="A37" s="3" t="s">
        <v>124</v>
      </c>
      <c r="B37" s="7">
        <v>44442</v>
      </c>
      <c r="C37" s="5">
        <v>2</v>
      </c>
      <c r="D37" s="9" t="s">
        <v>29</v>
      </c>
      <c r="E37" s="14" t="s">
        <v>125</v>
      </c>
      <c r="F37" s="32">
        <v>99</v>
      </c>
      <c r="G37" s="31">
        <v>82</v>
      </c>
      <c r="H37" s="31">
        <v>55</v>
      </c>
      <c r="I37" s="35">
        <v>0</v>
      </c>
      <c r="J37" s="40">
        <f t="shared" si="0"/>
        <v>236</v>
      </c>
      <c r="K37" s="38">
        <v>5</v>
      </c>
      <c r="L37" s="26">
        <v>4</v>
      </c>
      <c r="M37" s="1" t="s">
        <v>39</v>
      </c>
    </row>
    <row r="38" spans="1:13" x14ac:dyDescent="0.3">
      <c r="A38" s="3" t="s">
        <v>128</v>
      </c>
      <c r="B38" s="7">
        <v>44442</v>
      </c>
      <c r="C38" s="5">
        <v>1</v>
      </c>
      <c r="D38" s="9" t="s">
        <v>129</v>
      </c>
      <c r="E38" s="11" t="s">
        <v>123</v>
      </c>
      <c r="F38" s="32">
        <v>100</v>
      </c>
      <c r="G38" s="31">
        <v>68</v>
      </c>
      <c r="H38" s="31">
        <v>50</v>
      </c>
      <c r="I38" s="35">
        <v>0</v>
      </c>
      <c r="J38" s="40">
        <f t="shared" si="0"/>
        <v>218</v>
      </c>
      <c r="K38" s="38">
        <v>4</v>
      </c>
      <c r="L38" s="26">
        <v>3</v>
      </c>
      <c r="M38" s="1" t="s">
        <v>130</v>
      </c>
    </row>
    <row r="39" spans="1:13" x14ac:dyDescent="0.3">
      <c r="A39" s="3" t="s">
        <v>131</v>
      </c>
      <c r="B39" s="7">
        <v>44442</v>
      </c>
      <c r="C39" s="5">
        <v>1</v>
      </c>
      <c r="D39" s="9" t="s">
        <v>132</v>
      </c>
      <c r="E39" s="11" t="s">
        <v>133</v>
      </c>
      <c r="F39" s="32">
        <v>155</v>
      </c>
      <c r="G39" s="31">
        <v>98</v>
      </c>
      <c r="H39" s="31">
        <v>93</v>
      </c>
      <c r="I39" s="35">
        <v>0</v>
      </c>
      <c r="J39" s="40">
        <f t="shared" si="0"/>
        <v>346</v>
      </c>
      <c r="K39" s="38">
        <v>5</v>
      </c>
      <c r="L39" s="26">
        <v>4</v>
      </c>
    </row>
    <row r="40" spans="1:13" x14ac:dyDescent="0.3">
      <c r="A40" s="3" t="s">
        <v>134</v>
      </c>
      <c r="B40" s="7">
        <v>44442</v>
      </c>
      <c r="C40" s="5">
        <v>1</v>
      </c>
      <c r="D40" s="9" t="s">
        <v>135</v>
      </c>
      <c r="E40" s="11" t="s">
        <v>136</v>
      </c>
      <c r="F40" s="32">
        <v>69</v>
      </c>
      <c r="G40" s="31">
        <v>68</v>
      </c>
      <c r="H40" s="31">
        <v>45</v>
      </c>
      <c r="I40" s="35">
        <v>0</v>
      </c>
      <c r="J40" s="40">
        <f t="shared" si="0"/>
        <v>182</v>
      </c>
      <c r="L40" s="26">
        <v>2</v>
      </c>
      <c r="M40" s="1" t="s">
        <v>140</v>
      </c>
    </row>
    <row r="41" spans="1:13" x14ac:dyDescent="0.3">
      <c r="A41" s="3" t="s">
        <v>137</v>
      </c>
      <c r="B41" s="7">
        <v>44442</v>
      </c>
      <c r="C41" s="5">
        <v>2</v>
      </c>
      <c r="D41" s="9" t="s">
        <v>138</v>
      </c>
      <c r="E41" s="11" t="s">
        <v>139</v>
      </c>
      <c r="F41" s="32">
        <v>125</v>
      </c>
      <c r="G41" s="31">
        <v>92</v>
      </c>
      <c r="H41" s="31">
        <v>60</v>
      </c>
      <c r="I41" s="35">
        <v>0</v>
      </c>
      <c r="J41" s="40">
        <f t="shared" si="0"/>
        <v>277</v>
      </c>
      <c r="K41" s="38">
        <v>5</v>
      </c>
      <c r="L41" s="26">
        <v>4</v>
      </c>
    </row>
    <row r="42" spans="1:13" x14ac:dyDescent="0.3">
      <c r="A42" s="3" t="s">
        <v>141</v>
      </c>
      <c r="B42" s="7">
        <v>44442</v>
      </c>
      <c r="C42" s="5">
        <v>1</v>
      </c>
      <c r="D42" s="9" t="s">
        <v>142</v>
      </c>
      <c r="E42" s="11" t="s">
        <v>143</v>
      </c>
      <c r="F42" s="32">
        <v>112</v>
      </c>
      <c r="G42" s="31">
        <v>86</v>
      </c>
      <c r="H42" s="31">
        <v>51</v>
      </c>
      <c r="I42" s="35">
        <v>0</v>
      </c>
      <c r="J42" s="40">
        <f t="shared" si="0"/>
        <v>249</v>
      </c>
      <c r="K42" s="38">
        <v>5</v>
      </c>
      <c r="L42" s="26">
        <v>3</v>
      </c>
    </row>
    <row r="43" spans="1:13" x14ac:dyDescent="0.3">
      <c r="A43" s="3" t="s">
        <v>144</v>
      </c>
      <c r="D43" s="9" t="s">
        <v>165</v>
      </c>
      <c r="J43" s="40">
        <f t="shared" si="0"/>
        <v>0</v>
      </c>
      <c r="M43" s="1" t="s">
        <v>145</v>
      </c>
    </row>
    <row r="44" spans="1:13" x14ac:dyDescent="0.3">
      <c r="A44" s="3" t="s">
        <v>146</v>
      </c>
      <c r="B44" s="7">
        <v>44442</v>
      </c>
      <c r="C44" s="5">
        <v>0</v>
      </c>
      <c r="D44" s="9" t="s">
        <v>147</v>
      </c>
      <c r="F44" s="32">
        <v>49</v>
      </c>
      <c r="G44" s="31">
        <v>32</v>
      </c>
      <c r="H44" s="31">
        <v>0</v>
      </c>
      <c r="I44" s="35">
        <v>0</v>
      </c>
      <c r="J44" s="40">
        <f t="shared" si="0"/>
        <v>81</v>
      </c>
      <c r="K44" s="38">
        <v>3</v>
      </c>
      <c r="L44" s="26">
        <v>3</v>
      </c>
      <c r="M44" s="1" t="s">
        <v>39</v>
      </c>
    </row>
    <row r="45" spans="1:13" x14ac:dyDescent="0.3">
      <c r="A45" s="3" t="s">
        <v>149</v>
      </c>
      <c r="B45" s="7">
        <v>44442</v>
      </c>
      <c r="C45" s="5">
        <v>7</v>
      </c>
      <c r="D45" s="9" t="s">
        <v>150</v>
      </c>
      <c r="F45" s="32">
        <v>98</v>
      </c>
      <c r="G45" s="31">
        <v>66</v>
      </c>
      <c r="H45" s="31">
        <v>49</v>
      </c>
      <c r="I45" s="35">
        <v>0</v>
      </c>
      <c r="J45" s="40">
        <f t="shared" si="0"/>
        <v>213</v>
      </c>
      <c r="K45" s="38">
        <v>4</v>
      </c>
      <c r="L45" s="26">
        <v>4</v>
      </c>
    </row>
    <row r="46" spans="1:13" x14ac:dyDescent="0.3">
      <c r="A46" s="3" t="s">
        <v>151</v>
      </c>
      <c r="B46" s="7">
        <v>44442</v>
      </c>
      <c r="C46" s="5">
        <v>8</v>
      </c>
      <c r="D46" s="9" t="s">
        <v>155</v>
      </c>
      <c r="F46" s="32">
        <v>96</v>
      </c>
      <c r="G46" s="31">
        <v>53</v>
      </c>
      <c r="H46" s="31">
        <v>49</v>
      </c>
      <c r="I46" s="35">
        <v>0</v>
      </c>
      <c r="J46" s="40">
        <f t="shared" si="0"/>
        <v>198</v>
      </c>
      <c r="K46" s="38">
        <v>4</v>
      </c>
      <c r="L46" s="26">
        <v>3</v>
      </c>
      <c r="M46" s="1" t="s">
        <v>156</v>
      </c>
    </row>
    <row r="47" spans="1:13" x14ac:dyDescent="0.3">
      <c r="A47" s="3" t="s">
        <v>153</v>
      </c>
      <c r="B47" s="7">
        <v>44442</v>
      </c>
      <c r="M47" s="1" t="s">
        <v>158</v>
      </c>
    </row>
    <row r="48" spans="1:13" x14ac:dyDescent="0.3">
      <c r="A48" s="3" t="s">
        <v>152</v>
      </c>
      <c r="B48" s="7">
        <v>44442</v>
      </c>
      <c r="C48" s="5">
        <v>7</v>
      </c>
      <c r="D48" s="9" t="s">
        <v>157</v>
      </c>
      <c r="E48" s="14" t="s">
        <v>159</v>
      </c>
      <c r="F48" s="32">
        <v>95</v>
      </c>
      <c r="G48" s="31">
        <v>63</v>
      </c>
      <c r="H48" s="31">
        <v>45</v>
      </c>
      <c r="I48" s="35">
        <v>0</v>
      </c>
      <c r="J48" s="40">
        <f>SUM(F48:I48)</f>
        <v>203</v>
      </c>
      <c r="K48" s="38">
        <v>4</v>
      </c>
      <c r="L48" s="26">
        <v>3</v>
      </c>
    </row>
    <row r="49" spans="1:12" x14ac:dyDescent="0.3">
      <c r="A49" s="3" t="s">
        <v>160</v>
      </c>
      <c r="B49" s="7">
        <v>44442</v>
      </c>
      <c r="C49" s="5">
        <v>8</v>
      </c>
      <c r="D49" s="9" t="s">
        <v>32</v>
      </c>
      <c r="E49" s="11" t="s">
        <v>22</v>
      </c>
      <c r="F49" s="32">
        <v>97</v>
      </c>
      <c r="G49" s="31">
        <v>64</v>
      </c>
      <c r="H49" s="31">
        <v>36</v>
      </c>
      <c r="I49" s="35">
        <v>0</v>
      </c>
      <c r="J49" s="40">
        <f>SUM(F49:I49)</f>
        <v>197</v>
      </c>
      <c r="K49" s="38">
        <v>4</v>
      </c>
      <c r="L49" s="26">
        <v>3</v>
      </c>
    </row>
    <row r="50" spans="1:12" x14ac:dyDescent="0.3">
      <c r="A50" s="3" t="s">
        <v>161</v>
      </c>
      <c r="B50" s="7">
        <v>44442</v>
      </c>
      <c r="C50" s="5">
        <v>8</v>
      </c>
      <c r="D50" s="9" t="s">
        <v>32</v>
      </c>
      <c r="E50" s="11" t="s">
        <v>22</v>
      </c>
      <c r="F50" s="32">
        <v>122</v>
      </c>
      <c r="G50" s="31">
        <v>91</v>
      </c>
      <c r="H50" s="31">
        <v>89</v>
      </c>
      <c r="I50" s="35">
        <v>0</v>
      </c>
      <c r="J50" s="40">
        <f>SUM(F50:I50)</f>
        <v>302</v>
      </c>
      <c r="K50" s="38">
        <v>4</v>
      </c>
      <c r="L50" s="26">
        <v>4</v>
      </c>
    </row>
    <row r="51" spans="1:12" x14ac:dyDescent="0.3">
      <c r="A51" s="3" t="s">
        <v>162</v>
      </c>
      <c r="B51" s="7" t="s">
        <v>163</v>
      </c>
      <c r="D51" s="9" t="s">
        <v>164</v>
      </c>
    </row>
    <row r="63" spans="1:12" x14ac:dyDescent="0.3">
      <c r="A63" s="3" t="s">
        <v>148</v>
      </c>
      <c r="B63" s="5">
        <f>COUNTBLANK(B3:B62)</f>
        <v>12</v>
      </c>
    </row>
  </sheetData>
  <mergeCells count="1">
    <mergeCell ref="F1:I1"/>
  </mergeCells>
  <conditionalFormatting sqref="L3:L46 L48:L1048576">
    <cfRule type="cellIs" dxfId="1" priority="6" operator="greaterThan">
      <formula>3</formula>
    </cfRule>
  </conditionalFormatting>
  <conditionalFormatting sqref="K3:K46 K48:K1048576">
    <cfRule type="colorScale" priority="5">
      <colorScale>
        <cfvo type="num" val="2"/>
        <cfvo type="max"/>
        <color theme="4" tint="0.59999389629810485"/>
        <color theme="4" tint="-0.499984740745262"/>
      </colorScale>
    </cfRule>
  </conditionalFormatting>
  <conditionalFormatting sqref="F3:I46 F48:I1048576">
    <cfRule type="colorScale" priority="4">
      <colorScale>
        <cfvo type="min"/>
        <cfvo type="max"/>
        <color theme="5" tint="0.79998168889431442"/>
        <color theme="5" tint="-0.499984740745262"/>
      </colorScale>
    </cfRule>
  </conditionalFormatting>
  <conditionalFormatting sqref="C1:C1048576">
    <cfRule type="colorScale" priority="3">
      <colorScale>
        <cfvo type="num" val="-12"/>
        <cfvo type="num" val="0"/>
        <cfvo type="num" val="12"/>
        <color rgb="FF00B0F0"/>
        <color theme="0"/>
        <color rgb="FF00B050"/>
      </colorScale>
    </cfRule>
  </conditionalFormatting>
  <conditionalFormatting sqref="A1:A1048576">
    <cfRule type="duplicateValues" dxfId="0" priority="2"/>
  </conditionalFormatting>
  <conditionalFormatting sqref="J1:J46 J48:J1048576">
    <cfRule type="colorScale" priority="1">
      <colorScale>
        <cfvo type="min"/>
        <cfvo type="max"/>
        <color theme="0"/>
        <color theme="9" tint="-0.249977111117893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Musarliev</dc:creator>
  <cp:lastModifiedBy>Miroslav Musarliev</cp:lastModifiedBy>
  <dcterms:created xsi:type="dcterms:W3CDTF">2021-09-01T23:05:49Z</dcterms:created>
  <dcterms:modified xsi:type="dcterms:W3CDTF">2021-09-03T16:30:13Z</dcterms:modified>
</cp:coreProperties>
</file>